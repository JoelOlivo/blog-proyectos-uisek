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D:\Cristobal Andres\Desktop\UISEK\Materias\Servicio Comunitario\"/>
    </mc:Choice>
  </mc:AlternateContent>
  <xr:revisionPtr revIDLastSave="4" documentId="13_ncr:1_{BB80D0D0-A229-4C88-BD40-CF6E888E15FF}" xr6:coauthVersionLast="47" xr6:coauthVersionMax="47" xr10:uidLastSave="{5705D6D7-7D6E-440C-9FE8-AFB5024CDDAE}"/>
  <bookViews>
    <workbookView xWindow="-108" yWindow="-108" windowWidth="23256" windowHeight="12576" firstSheet="1" activeTab="3" xr2:uid="{00000000-000D-0000-FFFF-FFFF00000000}"/>
  </bookViews>
  <sheets>
    <sheet name="📋 Instrucciones" sheetId="1" r:id="rId1"/>
    <sheet name="📌 Datos del Negocio" sheetId="2" r:id="rId2"/>
    <sheet name="📊 Registro Diario" sheetId="3" r:id="rId3"/>
    <sheet name="🏠 Gastos del Hogar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13" i="3" s="1"/>
  <c r="C11" i="2"/>
  <c r="C12" i="3" s="1"/>
  <c r="C9" i="2"/>
  <c r="C10" i="4"/>
  <c r="C17" i="4" s="1"/>
  <c r="C19" i="2"/>
  <c r="C7" i="3" s="1"/>
  <c r="C6" i="3" l="1"/>
  <c r="C8" i="3" s="1"/>
  <c r="C12" i="2"/>
  <c r="C10" i="2" s="1"/>
  <c r="C22" i="3" l="1"/>
  <c r="C14" i="3" l="1"/>
  <c r="B17" i="3" s="1"/>
  <c r="C22" i="2"/>
  <c r="C20" i="2" s="1"/>
  <c r="C23" i="3" l="1"/>
  <c r="B13" i="4"/>
  <c r="C16" i="4"/>
  <c r="C18" i="4" s="1"/>
</calcChain>
</file>

<file path=xl/sharedStrings.xml><?xml version="1.0" encoding="utf-8"?>
<sst xmlns="http://schemas.openxmlformats.org/spreadsheetml/2006/main" count="120" uniqueCount="91">
  <si>
    <t>📊  CONTROL FINANCIERO BÁSICO CON EXCEL
Ejercicio práctico – El negocio de empanadas de María</t>
  </si>
  <si>
    <t>¿QUÉ ES ESTE ARCHIVO?</t>
  </si>
  <si>
    <t>Este libro de Excel te ayuda a entender cuánto dinero genera tu negocio cada día. Fue creado siguiendo el programa de capacitación de la UISEK.</t>
  </si>
  <si>
    <t>¿CÓMO ESTÁ ORGANIZADO?</t>
  </si>
  <si>
    <t>El archivo tiene 4 hojas (pestañas en la parte inferior de la pantalla):</t>
  </si>
  <si>
    <t xml:space="preserve">  📌 Hoja 1 – Instrucciones</t>
  </si>
  <si>
    <t>Esta hoja. Léela primero.</t>
  </si>
  <si>
    <t xml:space="preserve">  📌 Hoja 2 – Datos del Negocio</t>
  </si>
  <si>
    <t>Aquí ingresas los precios, costos y cantidad de ventas.</t>
  </si>
  <si>
    <t xml:space="preserve">  📌 Hoja 3 – Registro Diario</t>
  </si>
  <si>
    <t>Aquí ves el resumen de ingresos y gastos del día.</t>
  </si>
  <si>
    <t xml:space="preserve">  📌 Hoja 4 – Gastos del Hogar</t>
  </si>
  <si>
    <t>Aquí registras los gastos personales / del hogar de María.</t>
  </si>
  <si>
    <t>¿QUÉ CELDAS PUEDO CAMBIAR?</t>
  </si>
  <si>
    <t>Las celdas con fondo AMARILLO son los datos que tú ingresas (números azules). Las celdas con fondo VERDE se calculan solas — ¡no podrás modificarlas!</t>
  </si>
  <si>
    <t>PASO 1 – Ir a 'Datos del Negocio'</t>
  </si>
  <si>
    <t>Revisa o cambia el precio de venta, el costo por empanada y las unidades vendidas por día. Todo lo demás se calcula automáticamente.</t>
  </si>
  <si>
    <t>PASO 2 – Ir a 'Registro Diario'</t>
  </si>
  <si>
    <t>Verás el resumen del día: ingresos totales, costos, ganancia bruta (toda la ganancia) y ganancia neta (lo que te queda después de pagar los insumos).</t>
  </si>
  <si>
    <t>PASO 3 – Ir a 'Gastos del Hogar'</t>
  </si>
  <si>
    <t>María ingresará sus gastos (mercado, servicios, transporte, etc.) para saber cuánto le queda libre después de cubrir los gastos del hogar.</t>
  </si>
  <si>
    <t>CONSEJO IMPORTANTE</t>
  </si>
  <si>
    <t>María mezcla el dinero del negocio con el del hogar. Este archivo le muestra POR QUÉ es importante separarlos: así sabe exactamente si el negocio gana o pierde.</t>
  </si>
  <si>
    <t>LEYENDA DE COLORES</t>
  </si>
  <si>
    <t xml:space="preserve">  Fondo AMARILLO → dato que debes ingresar tú</t>
  </si>
  <si>
    <t xml:space="preserve">  Fondo VERDE   → resultado calculado automáticamente</t>
  </si>
  <si>
    <t xml:space="preserve">  Texto AZUL    → número que puedes modificar</t>
  </si>
  <si>
    <t xml:space="preserve">  Texto NEGRO   → fórmula (no modificar)</t>
  </si>
  <si>
    <t>🫓  DATOS DEL NEGOCIO DE MARÍA
Empanadas de carne y de pollo</t>
  </si>
  <si>
    <t>PRODUCTO 1 – EMPANADAS DE CARNE</t>
  </si>
  <si>
    <t>Descripción</t>
  </si>
  <si>
    <t>Valor ingresado</t>
  </si>
  <si>
    <t>Unidad</t>
  </si>
  <si>
    <t>Referencia</t>
  </si>
  <si>
    <t>Precio de venta por empanada</t>
  </si>
  <si>
    <t>$</t>
  </si>
  <si>
    <t>Dato de María</t>
  </si>
  <si>
    <t>Costo por empanada de carne</t>
  </si>
  <si>
    <t>Unidades vendidas por día</t>
  </si>
  <si>
    <t>unid.</t>
  </si>
  <si>
    <t>Estimado diario de María</t>
  </si>
  <si>
    <t>Ingreso bruto diario (carne)</t>
  </si>
  <si>
    <t>% de ganancia (margen)</t>
  </si>
  <si>
    <t>%</t>
  </si>
  <si>
    <t>Costo total diario (carne)</t>
  </si>
  <si>
    <t>Ganancia neta diaria (carne)</t>
  </si>
  <si>
    <t>PRODUCTO 2 – EMPANADAS DE POLLO</t>
  </si>
  <si>
    <t>Costo por empanada de pollo</t>
  </si>
  <si>
    <t>Ingreso bruto diario (pollo)</t>
  </si>
  <si>
    <t>Costo total diario (pollo)</t>
  </si>
  <si>
    <t>Ganancia neta diaria (pollo)</t>
  </si>
  <si>
    <t>📊  RESUMEN FINANCIERO DIARIO
Negocio de Empanadas – María</t>
  </si>
  <si>
    <t>💰  INGRESOS DEL DÍA</t>
  </si>
  <si>
    <t>Concepto</t>
  </si>
  <si>
    <t>Monto ($)</t>
  </si>
  <si>
    <t>Detalle</t>
  </si>
  <si>
    <t>Ventas – Empanadas de carne</t>
  </si>
  <si>
    <t xml:space="preserve"> unid × $</t>
  </si>
  <si>
    <t>Ventas – Empanadas de pollo</t>
  </si>
  <si>
    <t>TOTAL INGRESOS DEL DÍA</t>
  </si>
  <si>
    <t>🧾  COSTOS DE PRODUCCIÓN DEL DÍA</t>
  </si>
  <si>
    <t>Costo de empanadas de carne</t>
  </si>
  <si>
    <t>% del precio × unid.</t>
  </si>
  <si>
    <t>Costo de empanadas de pollo</t>
  </si>
  <si>
    <t>TOTAL COSTOS DEL DÍA</t>
  </si>
  <si>
    <t>🏆  GANANCIA NETA DIARIA DEL NEGOCIO</t>
  </si>
  <si>
    <t>💡 La ganancia neta es el dinero que le queda a María DESPUÉS de pagar los ingredientes y costos de producción.</t>
  </si>
  <si>
    <t>¿CUÁNTO GANA CADA PRODUCTO?</t>
  </si>
  <si>
    <t>Ganancia neta – Empanadas de carne</t>
  </si>
  <si>
    <t>% × $ × unid.</t>
  </si>
  <si>
    <t>Ganancia neta – Empanadas de pollo</t>
  </si>
  <si>
    <t>🏠  GASTOS DEL HOGAR – MARÍA
Separar las cuentas del negocio y del hogar</t>
  </si>
  <si>
    <t>GASTOS PERSONALES / DEL HOGAR (puedes cambiarlos)</t>
  </si>
  <si>
    <t>Gasto diario ($)</t>
  </si>
  <si>
    <t>Notas</t>
  </si>
  <si>
    <t>Mercado / alimentación</t>
  </si>
  <si>
    <t>Compras del día</t>
  </si>
  <si>
    <t>Transporte</t>
  </si>
  <si>
    <t>Movilización</t>
  </si>
  <si>
    <t>Servicios (luz, agua…)</t>
  </si>
  <si>
    <t>Prorrateo diario aprox.</t>
  </si>
  <si>
    <t>Otros gastos del hogar</t>
  </si>
  <si>
    <t>Variable</t>
  </si>
  <si>
    <t>TOTAL GASTOS DEL HOGAR (día)</t>
  </si>
  <si>
    <t>💵  DINERO DISPONIBLE DESPUÉS DEL HOGAR</t>
  </si>
  <si>
    <t>DESGLOSE DEL DÍA</t>
  </si>
  <si>
    <t>Ganancia neta del negocio</t>
  </si>
  <si>
    <t>Viene de la hoja 'Registro Diario'</t>
  </si>
  <si>
    <t>( – ) Gastos del hogar</t>
  </si>
  <si>
    <t>DINERO LIBRE AL FINAL DEL DÍA</t>
  </si>
  <si>
    <t>⚠️  IMPORTANTE: Este ejercicio muestra POR QUÉ María debe separar su dinero personal del dinero del negocio. Solo así sabe si el negocio realmente genera ganancia.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</si>
</sst>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&quot;$&quot;#,##0.00"/>
  </numFmts>
  <fonts count="19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b/>
      <sz val="10"/>
      <color rgb="FF1F3864"/>
      <name val="Arial"/>
      <family val="2"/>
    </font>
    <font>
      <i/>
      <sz val="9"/>
      <color rgb="FF595959"/>
      <name val="Arial"/>
      <family val="2"/>
    </font>
    <font>
      <sz val="10"/>
      <color rgb="FF2E75B6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1F3864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1F6B1F"/>
      <name val="Arial"/>
      <family val="2"/>
    </font>
    <font>
      <b/>
      <sz val="13"/>
      <color rgb="FFFFFFFF"/>
      <name val="Arial"/>
      <family val="2"/>
    </font>
    <font>
      <b/>
      <sz val="14"/>
      <color rgb="FF375623"/>
      <name val="Arial"/>
      <family val="2"/>
    </font>
    <font>
      <b/>
      <sz val="11"/>
      <color rgb="FF375623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color rgb="FF000000"/>
      <name val="Arial"/>
      <family val="2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8" fillId="0" borderId="0" applyFont="0" applyFill="0" applyBorder="0" applyAlignment="0" applyProtection="0"/>
  </cellStyleXfs>
  <cellXfs count="39">
    <xf numFmtId="0" fontId="0" fillId="0" borderId="0" xfId="0"/>
    <xf numFmtId="0" fontId="2" fillId="3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5" fillId="0" borderId="0" xfId="0" applyFont="1"/>
    <xf numFmtId="0" fontId="0" fillId="0" borderId="0" xfId="0" applyProtection="1">
      <protection locked="0"/>
    </xf>
    <xf numFmtId="0" fontId="7" fillId="3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left" vertical="center"/>
      <protection locked="0"/>
    </xf>
    <xf numFmtId="164" fontId="9" fillId="4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3" fontId="9" fillId="4" borderId="1" xfId="0" applyNumberFormat="1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left" vertical="center"/>
      <protection locked="0"/>
    </xf>
    <xf numFmtId="0" fontId="15" fillId="0" borderId="0" xfId="0" applyFont="1" applyProtection="1">
      <protection locked="0"/>
    </xf>
    <xf numFmtId="164" fontId="8" fillId="5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0" fillId="0" borderId="1" xfId="0" applyBorder="1" applyProtection="1">
      <protection locked="0"/>
    </xf>
    <xf numFmtId="164" fontId="7" fillId="3" borderId="1" xfId="0" applyNumberFormat="1" applyFont="1" applyFill="1" applyBorder="1" applyAlignment="1">
      <alignment horizontal="center" vertical="center"/>
    </xf>
    <xf numFmtId="0" fontId="16" fillId="0" borderId="1" xfId="0" applyFont="1" applyBorder="1" applyAlignment="1" applyProtection="1">
      <alignment horizontal="left" vertical="center"/>
      <protection locked="0"/>
    </xf>
    <xf numFmtId="164" fontId="14" fillId="5" borderId="1" xfId="0" applyNumberFormat="1" applyFont="1" applyFill="1" applyBorder="1" applyAlignment="1">
      <alignment horizontal="center" vertical="center"/>
    </xf>
    <xf numFmtId="165" fontId="9" fillId="4" borderId="1" xfId="0" applyNumberFormat="1" applyFont="1" applyFill="1" applyBorder="1" applyAlignment="1" applyProtection="1">
      <alignment horizontal="center" vertical="center"/>
      <protection locked="0"/>
    </xf>
    <xf numFmtId="10" fontId="8" fillId="5" borderId="1" xfId="0" applyNumberFormat="1" applyFont="1" applyFill="1" applyBorder="1" applyAlignment="1">
      <alignment horizontal="center" vertical="center"/>
    </xf>
    <xf numFmtId="164" fontId="17" fillId="5" borderId="1" xfId="0" applyNumberFormat="1" applyFont="1" applyFill="1" applyBorder="1" applyAlignment="1">
      <alignment horizontal="center" vertical="center"/>
    </xf>
    <xf numFmtId="10" fontId="0" fillId="0" borderId="0" xfId="0" applyNumberFormat="1" applyProtection="1">
      <protection locked="0"/>
    </xf>
    <xf numFmtId="9" fontId="0" fillId="0" borderId="0" xfId="1" applyFont="1" applyProtection="1"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 applyProtection="1">
      <alignment horizontal="left" vertical="center"/>
      <protection locked="0"/>
    </xf>
    <xf numFmtId="0" fontId="12" fillId="8" borderId="0" xfId="0" applyFont="1" applyFill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164" fontId="13" fillId="5" borderId="0" xfId="0" applyNumberFormat="1" applyFont="1" applyFill="1" applyAlignment="1">
      <alignment horizontal="center" vertical="center"/>
    </xf>
    <xf numFmtId="0" fontId="0" fillId="0" borderId="0" xfId="0" applyAlignment="1"/>
    <xf numFmtId="0" fontId="0" fillId="0" borderId="0" xfId="0" applyAlignment="1" applyProtection="1"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F25"/>
  <sheetViews>
    <sheetView topLeftCell="A19" zoomScale="158" workbookViewId="0">
      <selection activeCell="C19" sqref="C19"/>
    </sheetView>
  </sheetViews>
  <sheetFormatPr defaultColWidth="8.85546875" defaultRowHeight="14.45"/>
  <cols>
    <col min="1" max="1" width="4" customWidth="1"/>
    <col min="2" max="2" width="32.42578125" customWidth="1"/>
    <col min="3" max="3" width="52" customWidth="1"/>
    <col min="4" max="4" width="4" customWidth="1"/>
  </cols>
  <sheetData>
    <row r="1" spans="2:6" ht="10.15" customHeight="1"/>
    <row r="2" spans="2:6" ht="60" customHeight="1">
      <c r="B2" s="31" t="s">
        <v>0</v>
      </c>
      <c r="C2" s="37"/>
    </row>
    <row r="3" spans="2:6" ht="12" customHeight="1"/>
    <row r="5" spans="2:6" ht="36" customHeight="1">
      <c r="B5" s="1" t="s">
        <v>1</v>
      </c>
      <c r="C5" s="2" t="s">
        <v>2</v>
      </c>
    </row>
    <row r="7" spans="2:6" ht="28.15" customHeight="1">
      <c r="B7" s="1" t="s">
        <v>3</v>
      </c>
      <c r="C7" s="2" t="s">
        <v>4</v>
      </c>
    </row>
    <row r="8" spans="2:6" ht="28.15" customHeight="1">
      <c r="B8" s="3" t="s">
        <v>5</v>
      </c>
      <c r="C8" s="2" t="s">
        <v>6</v>
      </c>
    </row>
    <row r="9" spans="2:6" ht="28.15" customHeight="1">
      <c r="B9" s="3" t="s">
        <v>7</v>
      </c>
      <c r="C9" s="2" t="s">
        <v>8</v>
      </c>
    </row>
    <row r="10" spans="2:6" ht="28.15" customHeight="1">
      <c r="B10" s="3" t="s">
        <v>9</v>
      </c>
      <c r="C10" s="2" t="s">
        <v>10</v>
      </c>
    </row>
    <row r="11" spans="2:6" ht="28.15" customHeight="1">
      <c r="B11" s="3" t="s">
        <v>11</v>
      </c>
      <c r="C11" s="2" t="s">
        <v>12</v>
      </c>
      <c r="F11" s="6"/>
    </row>
    <row r="13" spans="2:6" ht="35.450000000000003" customHeight="1">
      <c r="B13" s="1" t="s">
        <v>13</v>
      </c>
      <c r="C13" s="2" t="s">
        <v>14</v>
      </c>
    </row>
    <row r="15" spans="2:6" ht="58.9" customHeight="1">
      <c r="B15" s="1" t="s">
        <v>15</v>
      </c>
      <c r="C15" s="2" t="s">
        <v>16</v>
      </c>
    </row>
    <row r="16" spans="2:6" ht="39" customHeight="1">
      <c r="B16" s="1" t="s">
        <v>17</v>
      </c>
      <c r="C16" s="2" t="s">
        <v>18</v>
      </c>
    </row>
    <row r="17" spans="2:3" ht="39" customHeight="1">
      <c r="B17" s="1" t="s">
        <v>19</v>
      </c>
      <c r="C17" s="2" t="s">
        <v>20</v>
      </c>
    </row>
    <row r="19" spans="2:3" ht="37.15" customHeight="1">
      <c r="B19" s="1" t="s">
        <v>21</v>
      </c>
      <c r="C19" s="2" t="s">
        <v>22</v>
      </c>
    </row>
    <row r="21" spans="2:3" ht="28.15" customHeight="1">
      <c r="B21" s="1" t="s">
        <v>23</v>
      </c>
    </row>
    <row r="22" spans="2:3" ht="28.15" customHeight="1">
      <c r="B22" s="4" t="s">
        <v>24</v>
      </c>
    </row>
    <row r="23" spans="2:3" ht="28.15" customHeight="1">
      <c r="B23" s="5" t="s">
        <v>25</v>
      </c>
    </row>
    <row r="24" spans="2:3" ht="28.15" customHeight="1">
      <c r="B24" s="3" t="s">
        <v>26</v>
      </c>
    </row>
    <row r="25" spans="2:3" ht="28.15" customHeight="1">
      <c r="B25" s="3" t="s">
        <v>27</v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39997558519241921"/>
  </sheetPr>
  <dimension ref="B2:H22"/>
  <sheetViews>
    <sheetView workbookViewId="0">
      <selection activeCell="J12" sqref="J12"/>
    </sheetView>
  </sheetViews>
  <sheetFormatPr defaultColWidth="8.85546875" defaultRowHeight="14.45"/>
  <cols>
    <col min="1" max="1" width="4" style="7" customWidth="1"/>
    <col min="2" max="2" width="30" style="7" customWidth="1"/>
    <col min="3" max="5" width="22" style="7" customWidth="1"/>
    <col min="6" max="6" width="4" style="7" customWidth="1"/>
    <col min="7" max="9" width="8.85546875" style="7"/>
    <col min="10" max="10" width="11" style="7" bestFit="1" customWidth="1"/>
    <col min="11" max="16384" width="8.85546875" style="7"/>
  </cols>
  <sheetData>
    <row r="2" spans="2:8" ht="48" customHeight="1">
      <c r="B2" s="30" t="s">
        <v>28</v>
      </c>
      <c r="C2" s="38"/>
      <c r="D2" s="38"/>
      <c r="E2" s="38"/>
    </row>
    <row r="4" spans="2:8" ht="24" customHeight="1">
      <c r="B4" s="29" t="s">
        <v>29</v>
      </c>
      <c r="C4" s="38"/>
      <c r="D4" s="38"/>
      <c r="E4" s="38"/>
    </row>
    <row r="5" spans="2:8">
      <c r="B5" s="8" t="s">
        <v>30</v>
      </c>
      <c r="C5" s="8" t="s">
        <v>31</v>
      </c>
      <c r="D5" s="8" t="s">
        <v>32</v>
      </c>
      <c r="E5" s="8" t="s">
        <v>33</v>
      </c>
    </row>
    <row r="6" spans="2:8" ht="22.15" customHeight="1">
      <c r="B6" s="9" t="s">
        <v>34</v>
      </c>
      <c r="C6" s="10">
        <v>1</v>
      </c>
      <c r="D6" s="11" t="s">
        <v>35</v>
      </c>
      <c r="E6" s="12" t="s">
        <v>36</v>
      </c>
    </row>
    <row r="7" spans="2:8" ht="22.15" customHeight="1">
      <c r="B7" s="9" t="s">
        <v>37</v>
      </c>
      <c r="C7" s="24">
        <v>0.5</v>
      </c>
      <c r="D7" s="11" t="s">
        <v>35</v>
      </c>
      <c r="E7" s="12" t="s">
        <v>36</v>
      </c>
    </row>
    <row r="8" spans="2:8" ht="22.15" customHeight="1">
      <c r="B8" s="9" t="s">
        <v>38</v>
      </c>
      <c r="C8" s="13">
        <v>20</v>
      </c>
      <c r="D8" s="11" t="s">
        <v>39</v>
      </c>
      <c r="E8" s="12" t="s">
        <v>40</v>
      </c>
    </row>
    <row r="9" spans="2:8" ht="22.15" customHeight="1">
      <c r="B9" s="14" t="s">
        <v>41</v>
      </c>
      <c r="C9" s="18">
        <f>C6*C8</f>
        <v>20</v>
      </c>
      <c r="D9" s="11" t="s">
        <v>35</v>
      </c>
      <c r="E9" s="15"/>
      <c r="H9" s="27"/>
    </row>
    <row r="10" spans="2:8" ht="22.15" customHeight="1">
      <c r="B10" s="9" t="s">
        <v>42</v>
      </c>
      <c r="C10" s="25">
        <f>C12/C9</f>
        <v>0.5</v>
      </c>
      <c r="D10" s="11" t="s">
        <v>43</v>
      </c>
      <c r="E10" s="12"/>
    </row>
    <row r="11" spans="2:8" ht="22.15" customHeight="1">
      <c r="B11" s="9" t="s">
        <v>44</v>
      </c>
      <c r="C11" s="18">
        <f>C7*C8</f>
        <v>10</v>
      </c>
      <c r="D11" s="11" t="s">
        <v>35</v>
      </c>
      <c r="E11" s="15"/>
    </row>
    <row r="12" spans="2:8" ht="22.15" customHeight="1">
      <c r="B12" s="16" t="s">
        <v>45</v>
      </c>
      <c r="C12" s="26">
        <f>C9-C11</f>
        <v>10</v>
      </c>
      <c r="D12" s="11" t="s">
        <v>35</v>
      </c>
      <c r="E12" s="15"/>
    </row>
    <row r="14" spans="2:8" ht="24" customHeight="1">
      <c r="B14" s="29" t="s">
        <v>46</v>
      </c>
      <c r="C14" s="38"/>
      <c r="D14" s="38"/>
      <c r="E14" s="38"/>
    </row>
    <row r="15" spans="2:8">
      <c r="B15" s="8" t="s">
        <v>30</v>
      </c>
      <c r="C15" s="8" t="s">
        <v>31</v>
      </c>
      <c r="D15" s="8" t="s">
        <v>32</v>
      </c>
      <c r="E15" s="8" t="s">
        <v>33</v>
      </c>
      <c r="H15" s="17"/>
    </row>
    <row r="16" spans="2:8" ht="22.15" customHeight="1">
      <c r="B16" s="9" t="s">
        <v>34</v>
      </c>
      <c r="C16" s="10">
        <v>1</v>
      </c>
      <c r="D16" s="11" t="s">
        <v>35</v>
      </c>
      <c r="E16" s="12" t="s">
        <v>36</v>
      </c>
    </row>
    <row r="17" spans="2:8" ht="22.15" customHeight="1">
      <c r="B17" s="9" t="s">
        <v>47</v>
      </c>
      <c r="C17" s="24">
        <v>0.2</v>
      </c>
      <c r="D17" s="11" t="s">
        <v>35</v>
      </c>
      <c r="E17" s="12" t="s">
        <v>36</v>
      </c>
    </row>
    <row r="18" spans="2:8" ht="22.15" customHeight="1">
      <c r="B18" s="9" t="s">
        <v>38</v>
      </c>
      <c r="C18" s="13">
        <v>50</v>
      </c>
      <c r="D18" s="11" t="s">
        <v>39</v>
      </c>
      <c r="E18" s="12" t="s">
        <v>40</v>
      </c>
    </row>
    <row r="19" spans="2:8" ht="22.15" customHeight="1">
      <c r="B19" s="14" t="s">
        <v>48</v>
      </c>
      <c r="C19" s="18">
        <f>C16*C18</f>
        <v>50</v>
      </c>
      <c r="D19" s="11" t="s">
        <v>35</v>
      </c>
      <c r="E19" s="15"/>
      <c r="H19" s="28"/>
    </row>
    <row r="20" spans="2:8" ht="22.15" customHeight="1">
      <c r="B20" s="9" t="s">
        <v>42</v>
      </c>
      <c r="C20" s="25">
        <f>C22/C19</f>
        <v>0.8</v>
      </c>
      <c r="D20" s="11" t="s">
        <v>43</v>
      </c>
      <c r="E20" s="15"/>
    </row>
    <row r="21" spans="2:8" ht="22.15" customHeight="1">
      <c r="B21" s="9" t="s">
        <v>49</v>
      </c>
      <c r="C21" s="18">
        <f>C17*C18</f>
        <v>10</v>
      </c>
      <c r="D21" s="11" t="s">
        <v>35</v>
      </c>
      <c r="E21" s="15"/>
    </row>
    <row r="22" spans="2:8" ht="22.15" customHeight="1">
      <c r="B22" s="16" t="s">
        <v>50</v>
      </c>
      <c r="C22" s="26">
        <f>C19-C21</f>
        <v>40</v>
      </c>
      <c r="D22" s="11" t="s">
        <v>35</v>
      </c>
      <c r="E22" s="15"/>
    </row>
  </sheetData>
  <sheetProtection selectLockedCells="1"/>
  <mergeCells count="3">
    <mergeCell ref="B14:E14"/>
    <mergeCell ref="B2:E2"/>
    <mergeCell ref="B4:E4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B2:D23"/>
  <sheetViews>
    <sheetView topLeftCell="A10" workbookViewId="0">
      <selection activeCell="H20" sqref="H20"/>
    </sheetView>
  </sheetViews>
  <sheetFormatPr defaultColWidth="8.85546875" defaultRowHeight="14.45"/>
  <cols>
    <col min="1" max="1" width="4" style="7" customWidth="1"/>
    <col min="2" max="2" width="35" style="7" customWidth="1"/>
    <col min="3" max="4" width="24" style="7" customWidth="1"/>
    <col min="5" max="5" width="4" style="7" customWidth="1"/>
    <col min="6" max="16384" width="8.85546875" style="7"/>
  </cols>
  <sheetData>
    <row r="2" spans="2:4" ht="48" customHeight="1">
      <c r="B2" s="30" t="s">
        <v>51</v>
      </c>
      <c r="C2" s="38"/>
      <c r="D2" s="38"/>
    </row>
    <row r="4" spans="2:4" ht="24" customHeight="1">
      <c r="B4" s="29" t="s">
        <v>52</v>
      </c>
      <c r="C4" s="38"/>
      <c r="D4" s="38"/>
    </row>
    <row r="5" spans="2:4">
      <c r="B5" s="8" t="s">
        <v>53</v>
      </c>
      <c r="C5" s="8" t="s">
        <v>54</v>
      </c>
      <c r="D5" s="8" t="s">
        <v>55</v>
      </c>
    </row>
    <row r="6" spans="2:4" ht="22.15" customHeight="1">
      <c r="B6" s="9" t="s">
        <v>56</v>
      </c>
      <c r="C6" s="18">
        <f>'📌 Datos del Negocio'!C9</f>
        <v>20</v>
      </c>
      <c r="D6" s="12" t="s">
        <v>57</v>
      </c>
    </row>
    <row r="7" spans="2:4" ht="22.15" customHeight="1">
      <c r="B7" s="9" t="s">
        <v>58</v>
      </c>
      <c r="C7" s="18">
        <f>'📌 Datos del Negocio'!C19</f>
        <v>50</v>
      </c>
      <c r="D7" s="12" t="s">
        <v>57</v>
      </c>
    </row>
    <row r="8" spans="2:4" ht="24" customHeight="1">
      <c r="B8" s="19" t="s">
        <v>59</v>
      </c>
      <c r="C8" s="21">
        <f>SUM(C6:C7)</f>
        <v>70</v>
      </c>
      <c r="D8" s="15"/>
    </row>
    <row r="10" spans="2:4" ht="24" customHeight="1">
      <c r="B10" s="34" t="s">
        <v>60</v>
      </c>
      <c r="C10" s="38"/>
      <c r="D10" s="38"/>
    </row>
    <row r="11" spans="2:4">
      <c r="B11" s="8" t="s">
        <v>53</v>
      </c>
      <c r="C11" s="8" t="s">
        <v>54</v>
      </c>
      <c r="D11" s="8" t="s">
        <v>55</v>
      </c>
    </row>
    <row r="12" spans="2:4" ht="22.15" customHeight="1">
      <c r="B12" s="9" t="s">
        <v>61</v>
      </c>
      <c r="C12" s="18">
        <f>'📌 Datos del Negocio'!C11</f>
        <v>10</v>
      </c>
      <c r="D12" s="12" t="s">
        <v>62</v>
      </c>
    </row>
    <row r="13" spans="2:4" ht="22.15" customHeight="1">
      <c r="B13" s="9" t="s">
        <v>63</v>
      </c>
      <c r="C13" s="18">
        <f>'📌 Datos del Negocio'!C21</f>
        <v>10</v>
      </c>
      <c r="D13" s="12" t="s">
        <v>62</v>
      </c>
    </row>
    <row r="14" spans="2:4" ht="24" customHeight="1">
      <c r="B14" s="19" t="s">
        <v>64</v>
      </c>
      <c r="C14" s="21">
        <f>SUM(C12:C13)</f>
        <v>20</v>
      </c>
      <c r="D14" s="20"/>
    </row>
    <row r="16" spans="2:4" ht="36" customHeight="1">
      <c r="B16" s="33" t="s">
        <v>65</v>
      </c>
      <c r="C16" s="38"/>
      <c r="D16" s="38"/>
    </row>
    <row r="17" spans="2:4" ht="36" customHeight="1">
      <c r="B17" s="36">
        <f>C8-C14</f>
        <v>50</v>
      </c>
      <c r="C17" s="37"/>
      <c r="D17" s="37"/>
    </row>
    <row r="19" spans="2:4" ht="22.15" customHeight="1">
      <c r="B19" s="35" t="s">
        <v>66</v>
      </c>
      <c r="C19" s="38"/>
      <c r="D19" s="38"/>
    </row>
    <row r="21" spans="2:4" ht="24" customHeight="1">
      <c r="B21" s="32" t="s">
        <v>67</v>
      </c>
      <c r="C21" s="38"/>
      <c r="D21" s="38"/>
    </row>
    <row r="22" spans="2:4" ht="22.15" customHeight="1">
      <c r="B22" s="9" t="s">
        <v>68</v>
      </c>
      <c r="C22" s="18">
        <f>'📌 Datos del Negocio'!C12</f>
        <v>10</v>
      </c>
      <c r="D22" s="12" t="s">
        <v>69</v>
      </c>
    </row>
    <row r="23" spans="2:4" ht="22.15" customHeight="1">
      <c r="B23" s="9" t="s">
        <v>70</v>
      </c>
      <c r="C23" s="18">
        <f>'📌 Datos del Negocio'!C22</f>
        <v>40</v>
      </c>
      <c r="D23" s="12" t="s">
        <v>69</v>
      </c>
    </row>
  </sheetData>
  <sheetProtection selectLockedCells="1"/>
  <mergeCells count="7">
    <mergeCell ref="B2:D2"/>
    <mergeCell ref="B21:D21"/>
    <mergeCell ref="B16:D16"/>
    <mergeCell ref="B10:D10"/>
    <mergeCell ref="B19:D19"/>
    <mergeCell ref="B4:D4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B2:D20"/>
  <sheetViews>
    <sheetView tabSelected="1" topLeftCell="A4" workbookViewId="0">
      <selection activeCell="C6" sqref="C6"/>
    </sheetView>
  </sheetViews>
  <sheetFormatPr defaultColWidth="8.85546875" defaultRowHeight="14.45"/>
  <cols>
    <col min="1" max="1" width="4" style="7" customWidth="1"/>
    <col min="2" max="2" width="35" style="7" customWidth="1"/>
    <col min="3" max="4" width="24" style="7" customWidth="1"/>
    <col min="5" max="5" width="4" style="7" customWidth="1"/>
    <col min="6" max="16384" width="8.85546875" style="7"/>
  </cols>
  <sheetData>
    <row r="2" spans="2:4" ht="48" customHeight="1">
      <c r="B2" s="30" t="s">
        <v>71</v>
      </c>
      <c r="C2" s="38"/>
      <c r="D2" s="38"/>
    </row>
    <row r="4" spans="2:4" ht="24" customHeight="1">
      <c r="B4" s="29" t="s">
        <v>72</v>
      </c>
      <c r="C4" s="38"/>
      <c r="D4" s="38"/>
    </row>
    <row r="5" spans="2:4">
      <c r="B5" s="8" t="s">
        <v>53</v>
      </c>
      <c r="C5" s="8" t="s">
        <v>73</v>
      </c>
      <c r="D5" s="8" t="s">
        <v>74</v>
      </c>
    </row>
    <row r="6" spans="2:4" ht="22.15" customHeight="1">
      <c r="B6" s="9" t="s">
        <v>75</v>
      </c>
      <c r="C6" s="10">
        <v>5</v>
      </c>
      <c r="D6" s="12" t="s">
        <v>76</v>
      </c>
    </row>
    <row r="7" spans="2:4" ht="22.15" customHeight="1">
      <c r="B7" s="9" t="s">
        <v>77</v>
      </c>
      <c r="C7" s="10">
        <v>2</v>
      </c>
      <c r="D7" s="12" t="s">
        <v>78</v>
      </c>
    </row>
    <row r="8" spans="2:4" ht="22.15" customHeight="1">
      <c r="B8" s="9" t="s">
        <v>79</v>
      </c>
      <c r="C8" s="10">
        <v>1.5</v>
      </c>
      <c r="D8" s="12" t="s">
        <v>80</v>
      </c>
    </row>
    <row r="9" spans="2:4" ht="22.15" customHeight="1">
      <c r="B9" s="9" t="s">
        <v>81</v>
      </c>
      <c r="C9" s="10">
        <v>1</v>
      </c>
      <c r="D9" s="12" t="s">
        <v>82</v>
      </c>
    </row>
    <row r="10" spans="2:4" ht="24" customHeight="1">
      <c r="B10" s="19" t="s">
        <v>83</v>
      </c>
      <c r="C10" s="21">
        <f>SUM(C6:C9)</f>
        <v>9.5</v>
      </c>
      <c r="D10" s="20"/>
    </row>
    <row r="12" spans="2:4" ht="36" customHeight="1">
      <c r="B12" s="33" t="s">
        <v>84</v>
      </c>
      <c r="C12" s="38"/>
      <c r="D12" s="38"/>
    </row>
    <row r="13" spans="2:4" ht="36" customHeight="1">
      <c r="B13" s="36">
        <f>'📊 Registro Diario'!B17-C10</f>
        <v>40.5</v>
      </c>
      <c r="C13" s="37"/>
      <c r="D13" s="37"/>
    </row>
    <row r="15" spans="2:4" ht="24" customHeight="1">
      <c r="B15" s="32" t="s">
        <v>85</v>
      </c>
      <c r="C15" s="38"/>
      <c r="D15" s="38"/>
    </row>
    <row r="16" spans="2:4" ht="22.15" customHeight="1">
      <c r="B16" s="9" t="s">
        <v>86</v>
      </c>
      <c r="C16" s="18">
        <f>'📊 Registro Diario'!B17</f>
        <v>50</v>
      </c>
      <c r="D16" s="12" t="s">
        <v>87</v>
      </c>
    </row>
    <row r="17" spans="2:4" ht="22.15" customHeight="1">
      <c r="B17" s="9" t="s">
        <v>88</v>
      </c>
      <c r="C17" s="18">
        <f>C10</f>
        <v>9.5</v>
      </c>
      <c r="D17" s="20"/>
    </row>
    <row r="18" spans="2:4" ht="24" customHeight="1">
      <c r="B18" s="22" t="s">
        <v>89</v>
      </c>
      <c r="C18" s="23">
        <f>C16-C17</f>
        <v>40.5</v>
      </c>
      <c r="D18" s="20"/>
    </row>
    <row r="20" spans="2:4" ht="28.15" customHeight="1">
      <c r="B20" s="35" t="s">
        <v>90</v>
      </c>
      <c r="C20" s="38"/>
      <c r="D20" s="38"/>
    </row>
  </sheetData>
  <sheetProtection sheet="1" objects="1" scenarios="1" selectLockedCells="1"/>
  <mergeCells count="6">
    <mergeCell ref="B2:D2"/>
    <mergeCell ref="B20:D20"/>
    <mergeCell ref="B15:D15"/>
    <mergeCell ref="B4:D4"/>
    <mergeCell ref="B13:D13"/>
    <mergeCell ref="B12:D12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Cristobal Charvet</dc:creator>
  <cp:keywords/>
  <dc:description/>
  <cp:lastModifiedBy>CRISTOBAL HERNAN CHARVET MONTUFAR</cp:lastModifiedBy>
  <cp:revision/>
  <dcterms:created xsi:type="dcterms:W3CDTF">2026-04-25T22:57:14Z</dcterms:created>
  <dcterms:modified xsi:type="dcterms:W3CDTF">2026-05-18T21:46:18Z</dcterms:modified>
  <cp:category/>
  <cp:contentStatus/>
</cp:coreProperties>
</file>